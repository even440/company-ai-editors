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价格表" sheetId="1" r:id="rId1"/>
    <sheet name="区域目标" sheetId="2" r:id="rId2"/>
    <sheet name="渠道毛利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产品</v>
      </c>
      <c r="B1" t="str">
        <v>标准版</v>
      </c>
      <c r="C1" t="str">
        <v>企业版</v>
      </c>
      <c r="D1" t="str">
        <v>备注</v>
      </c>
    </row>
    <row r="2">
      <c r="A2" t="str">
        <v>年费（元）</v>
      </c>
      <c r="B2">
        <v>120000</v>
      </c>
      <c r="C2">
        <v>360000</v>
      </c>
      <c r="D2" t="str">
        <v>2026H2</v>
      </c>
    </row>
    <row r="3">
      <c r="A3" t="str">
        <v>最低折扣</v>
      </c>
      <c r="B3" t="str">
        <v>9 折</v>
      </c>
      <c r="C3" t="str">
        <v>8 折</v>
      </c>
      <c r="D3" t="str">
        <v>低于 8 折需审批</v>
      </c>
    </row>
    <row r="4">
      <c r="A4" t="str">
        <v>实施费（元）</v>
      </c>
      <c r="B4">
        <v>20000</v>
      </c>
      <c r="C4">
        <v>50000</v>
      </c>
      <c r="D4" t="str">
        <v>含培训</v>
      </c>
    </row>
    <row r="5">
      <c r="A5" t="str">
        <v>用户数上限</v>
      </c>
      <c r="B5">
        <v>50</v>
      </c>
      <c r="C5">
        <v>500</v>
      </c>
      <c r="D5" t="str">
        <v/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区域</v>
      </c>
      <c r="B1" t="str">
        <v>负责人</v>
      </c>
      <c r="C1" t="str">
        <v>Q3 完成（万元）</v>
      </c>
      <c r="D1" t="str">
        <v>Q4 目标（万元）</v>
      </c>
    </row>
    <row r="2">
      <c r="A2" t="str">
        <v>华东</v>
      </c>
      <c r="B2" t="str">
        <v>李娜</v>
      </c>
      <c r="C2">
        <v>286</v>
      </c>
      <c r="D2">
        <v>320</v>
      </c>
    </row>
    <row r="3">
      <c r="A3" t="str">
        <v>华南</v>
      </c>
      <c r="B3" t="str">
        <v>王磊</v>
      </c>
      <c r="C3">
        <v>198</v>
      </c>
      <c r="D3">
        <v>240</v>
      </c>
    </row>
    <row r="4">
      <c r="A4" t="str">
        <v>华北</v>
      </c>
      <c r="B4" t="str">
        <v>张三</v>
      </c>
      <c r="C4">
        <v>164</v>
      </c>
      <c r="D4">
        <v>200</v>
      </c>
    </row>
    <row r="5">
      <c r="A5" t="str">
        <v>合计</v>
      </c>
      <c r="B5" t="str">
        <v/>
      </c>
      <c r="C5">
        <v>648</v>
      </c>
      <c r="D5">
        <v>760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cols>
    <col min="1" max="1" width="25.00390625" customWidth="1"/>
    <col min="2" max="2" width="15.00390625" customWidth="1"/>
    <col min="3" max="3" width="18.33203125" customWidth="1"/>
    <col min="4" max="4" width="18.33203125" customWidth="1"/>
    <col min="5" max="5" width="21.6640625" customWidth="1"/>
    <col min="6" max="6" width="16.6640625" customWidth="1"/>
  </cols>
  <sheetData>
    <row r="1">
      <c r="A1" t="str">
        <v>2026 下半年渠道毛利测算</v>
      </c>
    </row>
    <row r="2">
      <c r="A2" t="str">
        <v>产品</v>
      </c>
      <c r="B2" t="str">
        <v>规格</v>
      </c>
      <c r="C2" t="str">
        <v>出厂价（元）</v>
      </c>
      <c r="D2" t="str">
        <v>渠道价（元）</v>
      </c>
      <c r="E2" t="str">
        <v>建议零售价（元）</v>
      </c>
      <c r="F2" t="str">
        <v>渠道毛利率</v>
      </c>
    </row>
    <row r="3">
      <c r="A3" t="str">
        <v>智能门锁 X1</v>
      </c>
      <c r="B3" t="str">
        <v>标准版</v>
      </c>
      <c r="C3">
        <v>680</v>
      </c>
      <c r="D3">
        <v>899</v>
      </c>
      <c r="E3">
        <v>1299</v>
      </c>
      <c r="F3" s="1">
        <f>(D3-C3)/D3</f>
        <v>0.2436040044493882</v>
      </c>
    </row>
    <row r="4">
      <c r="A4" t="str">
        <v>智能门锁 X1 Pro</v>
      </c>
      <c r="B4" t="str">
        <v>指静脉版</v>
      </c>
      <c r="C4">
        <v>980</v>
      </c>
      <c r="D4">
        <v>1299</v>
      </c>
      <c r="E4">
        <v>1899</v>
      </c>
      <c r="F4" s="1">
        <f>(D4-C4)/D4</f>
        <v>0.2455735180908391</v>
      </c>
    </row>
    <row r="5">
      <c r="A5" t="str">
        <v>猫眼摄像头 C2</v>
      </c>
      <c r="B5" t="str">
        <v>2K</v>
      </c>
      <c r="C5">
        <v>210</v>
      </c>
      <c r="D5">
        <v>299</v>
      </c>
      <c r="E5">
        <v>459</v>
      </c>
      <c r="F5" s="1">
        <f>(D5-C5)/D5</f>
        <v>0.2976588628762542</v>
      </c>
    </row>
    <row r="6">
      <c r="A6" t="str">
        <v>网关 G1</v>
      </c>
      <c r="B6" t="str">
        <v>Zigbee</v>
      </c>
      <c r="C6">
        <v>95</v>
      </c>
      <c r="D6">
        <v>139</v>
      </c>
      <c r="E6">
        <v>199</v>
      </c>
      <c r="F6" s="1">
        <f>(D6-C6)/D6</f>
        <v>0.31654676258992803</v>
      </c>
    </row>
    <row r="7">
      <c r="A7" t="str">
        <v>门磁传感器</v>
      </c>
      <c r="B7" t="str">
        <v>单只</v>
      </c>
      <c r="C7">
        <v>18</v>
      </c>
      <c r="D7">
        <v>29</v>
      </c>
      <c r="E7">
        <v>49</v>
      </c>
      <c r="F7" s="1">
        <f>(D7-C7)/D7</f>
        <v>0.3793103448275862</v>
      </c>
    </row>
    <row r="8">
      <c r="A8" t="str">
        <v>合计</v>
      </c>
      <c r="B8" t="str">
        <v/>
      </c>
      <c r="C8">
        <f>SUM(C3:C7)</f>
        <v>1983</v>
      </c>
      <c r="D8">
        <f>SUM(D3:D7)</f>
        <v>2665</v>
      </c>
      <c r="E8">
        <f>SUM(E3:E7)</f>
        <v>3905</v>
      </c>
    </row>
  </sheetData>
  <mergeCells count="1">
    <mergeCell ref="A1:F1"/>
  </mergeCells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价格表</vt:lpstr>
      <vt:lpstr>区域目标</vt:lpstr>
      <vt:lpstr>渠道毛利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